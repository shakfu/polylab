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customXml/itemProps1.xml" ContentType="application/vnd.openxmlformats-officedocument.customXmlProperti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360" yWindow="60" windowWidth="15180" windowHeight="9090"/>
  </bookViews>
  <sheets>
    <sheet name="Sheet1" sheetId="1" r:id="rId1"/>
    <sheet name="Sheet2" sheetId="2" r:id="rId2"/>
    <sheet name="Sheet3" sheetId="3" r:id="rId3"/>
  </sheets>
  <definedNames>
    <definedName name="breakfast_cost">Sheet1!$C$2:$C$6</definedName>
    <definedName name="breakfast_cost.badindex" hidden="1">1</definedName>
    <definedName name="breakfast_cost.rowindex" hidden="1">MENU</definedName>
    <definedName name="breakfast_cost.rowindex.dirn" hidden="1">"row"</definedName>
    <definedName name="DAY">Sheet1!$B$9:$B$22</definedName>
    <definedName name="day_cost">Sheet1!$E$9:$E$22</definedName>
    <definedName name="day_cost.badindex" hidden="1">1</definedName>
    <definedName name="day_cost.rowindex" hidden="1">DAY</definedName>
    <definedName name="day_cost.rowindex.dirn" hidden="1">"row"</definedName>
    <definedName name="dinner_cost">Sheet1!$E$2:$E$6</definedName>
    <definedName name="dinner_cost.badindex" hidden="1">1</definedName>
    <definedName name="dinner_cost.rowindex" hidden="1">MENU</definedName>
    <definedName name="dinner_cost.rowindex.dirn" hidden="1">"row"</definedName>
    <definedName name="lunch_cost">Sheet1!$D$2:$D$6</definedName>
    <definedName name="lunch_cost.badindex" hidden="1">1</definedName>
    <definedName name="lunch_cost.rowindex" hidden="1">MENU</definedName>
    <definedName name="lunch_cost.rowindex.dirn" hidden="1">"row"</definedName>
    <definedName name="manday_rate">Sheet1!$F$2:$F$6</definedName>
    <definedName name="manday_rate.badindex" hidden="1">1</definedName>
    <definedName name="manday_rate.rowindex" hidden="1">MENU</definedName>
    <definedName name="manday_rate.rowindex.dirn" hidden="1">"row"</definedName>
    <definedName name="mandays">Sheet1!$C$9:$C$22</definedName>
    <definedName name="mandays.badindex" hidden="1">1</definedName>
    <definedName name="mandays.rowindex" hidden="1">DAY</definedName>
    <definedName name="mandays.rowindex.dirn" hidden="1">"row"</definedName>
    <definedName name="MENU">Sheet1!$B$2:$B$6</definedName>
    <definedName name="menu_choice">Sheet1!$D$9:$D$22</definedName>
    <definedName name="menu_choice.badindex" hidden="1">1</definedName>
    <definedName name="menu_choice.rowindex" hidden="1">DAY</definedName>
    <definedName name="menu_choice.rowindex.dirn" hidden="1">"row"</definedName>
  </definedNames>
  <calcPr calcId="125725"/>
</workbook>
</file>

<file path=xl/calcChain.xml><?xml version="1.0" encoding="utf-8"?>
<calcChain xmlns="http://schemas.openxmlformats.org/spreadsheetml/2006/main">
  <c r="E10" i="1"/>
  <c r="E11"/>
  <c r="E12"/>
  <c r="E13"/>
  <c r="E14"/>
  <c r="E15"/>
  <c r="E16"/>
  <c r="E17"/>
  <c r="E18"/>
  <c r="E19"/>
  <c r="E20"/>
  <c r="E21"/>
  <c r="E22"/>
  <c r="E9"/>
  <c r="F3"/>
  <c r="F4"/>
  <c r="F5"/>
  <c r="F6"/>
  <c r="F2"/>
  <c r="E24"/>
</calcChain>
</file>

<file path=xl/sharedStrings.xml><?xml version="1.0" encoding="utf-8"?>
<sst xmlns="http://schemas.openxmlformats.org/spreadsheetml/2006/main" count="10" uniqueCount="10">
  <si>
    <t>DAY</t>
  </si>
  <si>
    <t>mandays</t>
  </si>
  <si>
    <t>lunch_cost</t>
  </si>
  <si>
    <t>breakfast_cost</t>
  </si>
  <si>
    <t>dinner_cost</t>
  </si>
  <si>
    <t>day_cost</t>
  </si>
  <si>
    <t>total cost</t>
  </si>
  <si>
    <t>MENU</t>
  </si>
  <si>
    <t>manday_rate</t>
  </si>
  <si>
    <t>menu_choice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</si>
</sst>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3"/>
      <name val="Calibri"/>
      <family val="2"/>
      <scheme val="minor"/>
    </font>
    <font>
      <sz val="9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0" fontId="2" fillId="0" borderId="0" xfId="0" applyFont="1" applyAlignment="1">
      <alignment horizontal="center"/>
    </xf>
    <xf numFmtId="0" fontId="2" fillId="0" borderId="0" xfId="0" applyFont="1"/>
    <xf numFmtId="0" fontId="3" fillId="0" borderId="1" xfId="0" applyFont="1" applyBorder="1" applyAlignment="1">
      <alignment horizontal="center"/>
    </xf>
    <xf numFmtId="0" fontId="2" fillId="0" borderId="0" xfId="0" applyFont="1" applyAlignment="1">
      <alignment horizontal="left"/>
    </xf>
    <xf numFmtId="3" fontId="1" fillId="0" borderId="0" xfId="0" applyNumberFormat="1" applyFont="1" applyAlignment="1">
      <alignment horizontal="center"/>
    </xf>
    <xf numFmtId="3" fontId="2" fillId="0" borderId="0" xfId="0" applyNumberFormat="1" applyFont="1" applyAlignment="1">
      <alignment horizontal="center"/>
    </xf>
    <xf numFmtId="1" fontId="4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B1:I24"/>
  <sheetViews>
    <sheetView showGridLines="0" tabSelected="1" workbookViewId="0">
      <selection activeCell="I7" sqref="I7"/>
    </sheetView>
  </sheetViews>
  <sheetFormatPr defaultRowHeight="12"/>
  <cols>
    <col min="1" max="1" width="3.140625" style="2" customWidth="1"/>
    <col min="2" max="9" width="11.42578125" style="2" customWidth="1"/>
    <col min="10" max="10" width="14.140625" style="2" bestFit="1" customWidth="1"/>
    <col min="11" max="11" width="9.42578125" style="2" customWidth="1"/>
    <col min="12" max="16384" width="9.140625" style="2"/>
  </cols>
  <sheetData>
    <row r="1" spans="2:9">
      <c r="B1" s="3" t="s">
        <v>7</v>
      </c>
      <c r="C1" s="6" t="s">
        <v>3</v>
      </c>
      <c r="D1" s="3" t="s">
        <v>2</v>
      </c>
      <c r="E1" s="3" t="s">
        <v>4</v>
      </c>
      <c r="F1" s="4" t="s">
        <v>8</v>
      </c>
      <c r="G1" s="3"/>
    </row>
    <row r="2" spans="2:9">
      <c r="B2" s="1">
        <v>1</v>
      </c>
      <c r="C2" s="1">
        <v>20</v>
      </c>
      <c r="D2" s="1">
        <v>5</v>
      </c>
      <c r="E2" s="1">
        <v>10</v>
      </c>
      <c r="F2" s="1">
        <f>SUM(C2:E2)</f>
        <v>35</v>
      </c>
      <c r="G2" s="1"/>
    </row>
    <row r="3" spans="2:9">
      <c r="B3" s="1">
        <v>2</v>
      </c>
      <c r="C3" s="1">
        <v>4</v>
      </c>
      <c r="D3" s="1">
        <v>10</v>
      </c>
      <c r="E3" s="1">
        <v>20</v>
      </c>
      <c r="F3" s="1">
        <f t="shared" ref="F3:F6" si="0">SUM(C3:E3)</f>
        <v>34</v>
      </c>
      <c r="G3" s="1"/>
    </row>
    <row r="4" spans="2:9">
      <c r="B4" s="1">
        <v>3</v>
      </c>
      <c r="C4" s="1">
        <v>1</v>
      </c>
      <c r="D4" s="1">
        <v>2</v>
      </c>
      <c r="E4" s="1">
        <v>30</v>
      </c>
      <c r="F4" s="1">
        <f t="shared" si="0"/>
        <v>33</v>
      </c>
      <c r="G4" s="1"/>
    </row>
    <row r="5" spans="2:9">
      <c r="B5" s="1">
        <v>4</v>
      </c>
      <c r="C5" s="1">
        <v>3</v>
      </c>
      <c r="D5" s="1">
        <v>20</v>
      </c>
      <c r="E5" s="1">
        <v>40</v>
      </c>
      <c r="F5" s="1">
        <f t="shared" si="0"/>
        <v>63</v>
      </c>
      <c r="G5" s="1"/>
    </row>
    <row r="6" spans="2:9">
      <c r="B6" s="1">
        <v>5</v>
      </c>
      <c r="C6" s="1">
        <v>10</v>
      </c>
      <c r="D6" s="1">
        <v>25</v>
      </c>
      <c r="E6" s="1">
        <v>21</v>
      </c>
      <c r="F6" s="1">
        <f t="shared" si="0"/>
        <v>56</v>
      </c>
      <c r="G6" s="1"/>
    </row>
    <row r="8" spans="2:9">
      <c r="B8" s="3" t="s">
        <v>0</v>
      </c>
      <c r="C8" s="3" t="s">
        <v>1</v>
      </c>
      <c r="D8" s="3" t="s">
        <v>9</v>
      </c>
      <c r="E8" s="3" t="s">
        <v>5</v>
      </c>
      <c r="I8" s="3"/>
    </row>
    <row r="9" spans="2:9">
      <c r="B9" s="1">
        <v>1</v>
      </c>
      <c r="C9" s="5">
        <v>100</v>
      </c>
      <c r="D9" s="9">
        <v>1</v>
      </c>
      <c r="E9" s="7">
        <f>C9*INDEX(manday_rate, MATCH(menu_choice, MENU, 0))</f>
        <v>3500</v>
      </c>
      <c r="I9" s="1"/>
    </row>
    <row r="10" spans="2:9">
      <c r="B10" s="1">
        <v>2</v>
      </c>
      <c r="C10" s="5">
        <v>100</v>
      </c>
      <c r="D10" s="9">
        <v>1</v>
      </c>
      <c r="E10" s="7">
        <f>C10*INDEX(manday_rate, MATCH(menu_choice, MENU, 0))</f>
        <v>3500</v>
      </c>
      <c r="I10" s="1"/>
    </row>
    <row r="11" spans="2:9">
      <c r="B11" s="1">
        <v>3</v>
      </c>
      <c r="C11" s="5">
        <v>100</v>
      </c>
      <c r="D11" s="9">
        <v>1</v>
      </c>
      <c r="E11" s="7">
        <f>C11*INDEX(manday_rate, MATCH(menu_choice, MENU, 0))</f>
        <v>3500</v>
      </c>
      <c r="I11" s="1"/>
    </row>
    <row r="12" spans="2:9">
      <c r="B12" s="1">
        <v>4</v>
      </c>
      <c r="C12" s="5">
        <v>100</v>
      </c>
      <c r="D12" s="9">
        <v>1</v>
      </c>
      <c r="E12" s="7">
        <f>C12*INDEX(manday_rate, MATCH(menu_choice, MENU, 0))</f>
        <v>3500</v>
      </c>
      <c r="I12" s="1"/>
    </row>
    <row r="13" spans="2:9">
      <c r="B13" s="1">
        <v>5</v>
      </c>
      <c r="C13" s="5">
        <v>100</v>
      </c>
      <c r="D13" s="9">
        <v>1</v>
      </c>
      <c r="E13" s="7">
        <f>C13*INDEX(manday_rate, MATCH(menu_choice, MENU, 0))</f>
        <v>3500</v>
      </c>
      <c r="I13" s="1"/>
    </row>
    <row r="14" spans="2:9">
      <c r="B14" s="1">
        <v>6</v>
      </c>
      <c r="C14" s="5">
        <v>100</v>
      </c>
      <c r="D14" s="9">
        <v>1</v>
      </c>
      <c r="E14" s="7">
        <f>C14*INDEX(manday_rate, MATCH(menu_choice, MENU, 0))</f>
        <v>3500</v>
      </c>
      <c r="I14" s="1"/>
    </row>
    <row r="15" spans="2:9">
      <c r="B15" s="1">
        <v>7</v>
      </c>
      <c r="C15" s="5">
        <v>100</v>
      </c>
      <c r="D15" s="9">
        <v>1</v>
      </c>
      <c r="E15" s="7">
        <f>C15*INDEX(manday_rate, MATCH(menu_choice, MENU, 0))</f>
        <v>3500</v>
      </c>
      <c r="I15" s="1"/>
    </row>
    <row r="16" spans="2:9">
      <c r="B16" s="1">
        <v>8</v>
      </c>
      <c r="C16" s="5">
        <v>100</v>
      </c>
      <c r="D16" s="9">
        <v>1</v>
      </c>
      <c r="E16" s="7">
        <f>C16*INDEX(manday_rate, MATCH(menu_choice, MENU, 0))</f>
        <v>3500</v>
      </c>
      <c r="I16" s="1"/>
    </row>
    <row r="17" spans="2:9">
      <c r="B17" s="1">
        <v>9</v>
      </c>
      <c r="C17" s="5">
        <v>100</v>
      </c>
      <c r="D17" s="9">
        <v>1</v>
      </c>
      <c r="E17" s="7">
        <f>C17*INDEX(manday_rate, MATCH(menu_choice, MENU, 0))</f>
        <v>3500</v>
      </c>
      <c r="I17" s="1"/>
    </row>
    <row r="18" spans="2:9">
      <c r="B18" s="1">
        <v>10</v>
      </c>
      <c r="C18" s="5">
        <v>100</v>
      </c>
      <c r="D18" s="9">
        <v>1</v>
      </c>
      <c r="E18" s="7">
        <f>C18*INDEX(manday_rate, MATCH(menu_choice, MENU, 0))</f>
        <v>3500</v>
      </c>
      <c r="I18" s="1"/>
    </row>
    <row r="19" spans="2:9">
      <c r="B19" s="1">
        <v>11</v>
      </c>
      <c r="C19" s="5">
        <v>100</v>
      </c>
      <c r="D19" s="9">
        <v>1</v>
      </c>
      <c r="E19" s="7">
        <f>C19*INDEX(manday_rate, MATCH(menu_choice, MENU, 0))</f>
        <v>3500</v>
      </c>
      <c r="I19" s="1"/>
    </row>
    <row r="20" spans="2:9">
      <c r="B20" s="1">
        <v>12</v>
      </c>
      <c r="C20" s="5">
        <v>100</v>
      </c>
      <c r="D20" s="9">
        <v>1</v>
      </c>
      <c r="E20" s="7">
        <f>C20*INDEX(manday_rate, MATCH(menu_choice, MENU, 0))</f>
        <v>3500</v>
      </c>
      <c r="I20" s="1"/>
    </row>
    <row r="21" spans="2:9">
      <c r="B21" s="1">
        <v>13</v>
      </c>
      <c r="C21" s="5">
        <v>100</v>
      </c>
      <c r="D21" s="9">
        <v>1</v>
      </c>
      <c r="E21" s="7">
        <f>C21*INDEX(manday_rate, MATCH(menu_choice, MENU, 0))</f>
        <v>3500</v>
      </c>
      <c r="I21" s="1"/>
    </row>
    <row r="22" spans="2:9">
      <c r="B22" s="1">
        <v>14</v>
      </c>
      <c r="C22" s="5">
        <v>100</v>
      </c>
      <c r="D22" s="9">
        <v>1</v>
      </c>
      <c r="E22" s="7">
        <f>C22*INDEX(manday_rate, MATCH(menu_choice, MENU, 0))</f>
        <v>3500</v>
      </c>
      <c r="I22" s="1"/>
    </row>
    <row r="24" spans="2:9">
      <c r="D24" s="1" t="s">
        <v>6</v>
      </c>
      <c r="E24" s="8">
        <f>SUM(day_cost)</f>
        <v>49000</v>
      </c>
    </row>
  </sheetData>
  <pageMargins left="0.7" right="0.7" top="0.75" bottom="0.75" header="0.3" footer="0.3"/>
  <pageSetup orientation="portrait" horizontalDpi="4294967294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toredFilesList xmlns:xsi="http://www.w3.org/2001/XMLSchema-instance" xmlns:xsd="http://www.w3.org/2001/XMLSchema" xmlns="http://opensolver.org" xml:space="preserve" Version="01.00">
  <StoredFiles>
    <StoredFile>
      <FileName>Untitled</FileName>
      <LanguageName>AMPL</LanguageName>
      <ModelPaneVisible>true</ModelPaneVisible>
      <ModelSettings/>
      <FileText># sets
set DAY;
set MENU;
# params
param manday_rate {MENU};
param mandays {DAY} integer &gt;= 0;
param day_cost {DAY};
# vars
var menu_choice {DAY} integer;
# objective
minimize total_cost:
    sum {i in DAY} day_cost[i];
# constraints
subject to limits {i in DAY}:
    1 &lt;= menu_choice[i] &lt;= 5;
solve;
display menu_choice &gt; Sheet;
</FileText>
      <ParentWorksheetName>Sheet1</ParentWorksheetName>
    </StoredFile>
  </StoredFiles>
</StoredFilesList>
</file>

<file path=customXml/itemProps1.xml><?xml version="1.0" encoding="utf-8"?>
<ds:datastoreItem xmlns:ds="http://schemas.openxmlformats.org/officeDocument/2006/customXml" ds:itemID="{92A76FCE-6461-4F87-8A60-D5BCD8E857B4}">
  <ds:schemaRefs>
    <ds:schemaRef ds:uri="http://www.w3.org/2001/XMLSchema"/>
    <ds:schemaRef ds:uri="http://opensolver.org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Sheet1</vt:lpstr>
      <vt:lpstr>Sheet2</vt:lpstr>
      <vt:lpstr>Sheet3</vt:lpstr>
      <vt:lpstr>breakfast_cost</vt:lpstr>
      <vt:lpstr>DAY</vt:lpstr>
      <vt:lpstr>day_cost</vt:lpstr>
      <vt:lpstr>dinner_cost</vt:lpstr>
      <vt:lpstr>lunch_cost</vt:lpstr>
      <vt:lpstr>manday_rate</vt:lpstr>
      <vt:lpstr>mandays</vt:lpstr>
      <vt:lpstr>MENU</vt:lpstr>
      <vt:lpstr>menu_choice</vt:lpstr>
    </vt:vector>
  </TitlesOfParts>
  <Company>me.org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shakeeb.alireza</dc:creator>
  <cp:lastModifiedBy>shakeeb.alireza</cp:lastModifiedBy>
  <dcterms:created xsi:type="dcterms:W3CDTF">2017-05-13T19:09:38Z</dcterms:created>
  <dcterms:modified xsi:type="dcterms:W3CDTF">2017-05-14T04:38:49Z</dcterms:modified>
</cp:coreProperties>
</file>